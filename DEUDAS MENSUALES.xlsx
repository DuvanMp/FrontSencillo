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uvan Martinez\Personales\"/>
    </mc:Choice>
  </mc:AlternateContent>
  <bookViews>
    <workbookView xWindow="0" yWindow="0" windowWidth="2160" windowHeight="30" activeTab="2"/>
  </bookViews>
  <sheets>
    <sheet name="MENSUALES" sheetId="1" r:id="rId1"/>
    <sheet name="RECOMENDADO" sheetId="3" r:id="rId2"/>
    <sheet name="Almuerzos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" i="4" l="1"/>
  <c r="D12" i="1" l="1"/>
  <c r="E10" i="1"/>
  <c r="G5" i="1"/>
  <c r="K20" i="1" l="1"/>
  <c r="M1" i="4" l="1"/>
  <c r="B2" i="1" l="1"/>
  <c r="G4" i="1"/>
  <c r="C12" i="1"/>
  <c r="E11" i="1"/>
  <c r="B11" i="1"/>
  <c r="F1" i="4"/>
  <c r="G9" i="1" l="1"/>
  <c r="I14" i="1" s="1"/>
  <c r="E8" i="1"/>
  <c r="B8" i="1"/>
  <c r="G13" i="3"/>
  <c r="E7" i="1"/>
  <c r="B7" i="1"/>
  <c r="E9" i="1" l="1"/>
  <c r="B9" i="1"/>
  <c r="B5" i="3" l="1"/>
  <c r="B4" i="3"/>
  <c r="B3" i="3"/>
  <c r="B3" i="1" l="1"/>
  <c r="B4" i="1"/>
  <c r="B5" i="1"/>
  <c r="B6" i="1"/>
  <c r="D14" i="1" l="1"/>
  <c r="E6" i="1" l="1"/>
  <c r="E3" i="1" l="1"/>
  <c r="E4" i="1"/>
  <c r="E5" i="1"/>
  <c r="E2" i="1"/>
  <c r="E12" i="1" l="1"/>
</calcChain>
</file>

<file path=xl/comments1.xml><?xml version="1.0" encoding="utf-8"?>
<comments xmlns="http://schemas.openxmlformats.org/spreadsheetml/2006/main">
  <authors>
    <author>Duvan A. Martinez Parra</author>
  </authors>
  <commentList>
    <comment ref="B3" authorId="0" shapeId="0">
      <text>
        <r>
          <rPr>
            <b/>
            <sz val="9"/>
            <color indexed="81"/>
            <rFont val="Tahoma"/>
            <family val="2"/>
          </rPr>
          <t>Duvan A. Martinez Parra:</t>
        </r>
        <r>
          <rPr>
            <sz val="9"/>
            <color indexed="81"/>
            <rFont val="Tahoma"/>
            <family val="2"/>
          </rPr>
          <t xml:space="preserve">
Arriendo: 984,000
Recibos: 150,000
Movistar: 20,000
Gasolina: 500,000
Comida: 600,000
 </t>
        </r>
        <r>
          <rPr>
            <b/>
            <sz val="9"/>
            <color indexed="81"/>
            <rFont val="Tahoma"/>
            <family val="2"/>
          </rPr>
          <t>TOTAL: 2,254,000</t>
        </r>
      </text>
    </comment>
  </commentList>
</comments>
</file>

<file path=xl/sharedStrings.xml><?xml version="1.0" encoding="utf-8"?>
<sst xmlns="http://schemas.openxmlformats.org/spreadsheetml/2006/main" count="64" uniqueCount="64">
  <si>
    <t xml:space="preserve">ARRIENDO </t>
  </si>
  <si>
    <t>VALOR</t>
  </si>
  <si>
    <t>PAGADO</t>
  </si>
  <si>
    <t>FECHA</t>
  </si>
  <si>
    <t>CONCEPTO</t>
  </si>
  <si>
    <t>GASOLINA</t>
  </si>
  <si>
    <t>TOTALES</t>
  </si>
  <si>
    <t>BOLSILLO</t>
  </si>
  <si>
    <t>SALDO</t>
  </si>
  <si>
    <t>COMFENALCO</t>
  </si>
  <si>
    <t>RECIBOS</t>
  </si>
  <si>
    <t>SOBRAR ""</t>
  </si>
  <si>
    <t>RECOMENDADOS</t>
  </si>
  <si>
    <t xml:space="preserve">GASTOS FIJOS </t>
  </si>
  <si>
    <t>DESEOS</t>
  </si>
  <si>
    <t>AHORRO</t>
  </si>
  <si>
    <t>SUELDO BRUTO</t>
  </si>
  <si>
    <t>DESCUENTOS</t>
  </si>
  <si>
    <t>SUELDO NETO</t>
  </si>
  <si>
    <t>GASTO PENDIENTES</t>
  </si>
  <si>
    <t>Hija pasaporte</t>
  </si>
  <si>
    <t>MAYO</t>
  </si>
  <si>
    <t>JUNIO</t>
  </si>
  <si>
    <t>MOTO</t>
  </si>
  <si>
    <t>trasteo</t>
  </si>
  <si>
    <t>arreglo casa</t>
  </si>
  <si>
    <t>GASTOS HIJA</t>
  </si>
  <si>
    <t>hospedaje</t>
  </si>
  <si>
    <t>?</t>
  </si>
  <si>
    <t>VANTI</t>
  </si>
  <si>
    <t>ESSA</t>
  </si>
  <si>
    <t>AGUA</t>
  </si>
  <si>
    <t>traspaso carro</t>
  </si>
  <si>
    <t>JULIO</t>
  </si>
  <si>
    <t>PRIMA</t>
  </si>
  <si>
    <t>recibo agua</t>
  </si>
  <si>
    <t>Deuda Palacios</t>
  </si>
  <si>
    <t>Ollas hija (L)</t>
  </si>
  <si>
    <t>mercado mes pasado (L)</t>
  </si>
  <si>
    <t>bateria (L)</t>
  </si>
  <si>
    <t>ropa (L)</t>
  </si>
  <si>
    <t>COMIDA-PAÑALES</t>
  </si>
  <si>
    <t>CREDITO MOTO</t>
  </si>
  <si>
    <t>Carne asada</t>
  </si>
  <si>
    <t>albondigas</t>
  </si>
  <si>
    <t>cerdo</t>
  </si>
  <si>
    <t>20 almuerzos</t>
  </si>
  <si>
    <t>Vuelos Bogota</t>
  </si>
  <si>
    <t>xxxxx</t>
  </si>
  <si>
    <t>Ropa vieja</t>
  </si>
  <si>
    <t>ALMUERZOS JUNIO</t>
  </si>
  <si>
    <t>CREDITO FNA</t>
  </si>
  <si>
    <t>Diego fronteo</t>
  </si>
  <si>
    <t>laura hija</t>
  </si>
  <si>
    <t>MERCADO-COMIDAS</t>
  </si>
  <si>
    <t>AGOSTO</t>
  </si>
  <si>
    <t>ALMUERZOS SEPTIEMBRE</t>
  </si>
  <si>
    <t>22 almuerzos</t>
  </si>
  <si>
    <t>Deuda  qma cuna</t>
  </si>
  <si>
    <t>6*178</t>
  </si>
  <si>
    <t>pago 180</t>
  </si>
  <si>
    <t>ALMUERZOS OCTUBRE</t>
  </si>
  <si>
    <t>COMIDAS FINES</t>
  </si>
  <si>
    <t>17 almuerzos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</si>
</sst>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2" formatCode="_-&quot;$&quot;\ * #,##0_-;\-&quot;$&quot;\ * #,##0_-;_-&quot;$&quot;\ 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9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3" borderId="1" xfId="0" applyFill="1" applyBorder="1"/>
    <xf numFmtId="14" fontId="0" fillId="3" borderId="1" xfId="0" applyNumberFormat="1" applyFill="1" applyBorder="1"/>
    <xf numFmtId="42" fontId="0" fillId="0" borderId="1" xfId="1" applyFont="1" applyBorder="1"/>
    <xf numFmtId="0" fontId="0" fillId="0" borderId="1" xfId="0" applyBorder="1"/>
    <xf numFmtId="0" fontId="3" fillId="0" borderId="1" xfId="0" applyFont="1" applyBorder="1"/>
    <xf numFmtId="0" fontId="5" fillId="0" borderId="1" xfId="0" applyFont="1" applyBorder="1"/>
    <xf numFmtId="42" fontId="3" fillId="0" borderId="1" xfId="1" applyFont="1" applyBorder="1"/>
    <xf numFmtId="42" fontId="0" fillId="0" borderId="0" xfId="0" applyNumberFormat="1"/>
    <xf numFmtId="42" fontId="0" fillId="4" borderId="1" xfId="1" applyFont="1" applyFill="1" applyBorder="1"/>
    <xf numFmtId="42" fontId="3" fillId="4" borderId="1" xfId="1" applyFont="1" applyFill="1" applyBorder="1"/>
    <xf numFmtId="42" fontId="4" fillId="4" borderId="1" xfId="1" applyFont="1" applyFill="1" applyBorder="1"/>
    <xf numFmtId="42" fontId="4" fillId="5" borderId="1" xfId="1" applyFont="1" applyFill="1" applyBorder="1"/>
    <xf numFmtId="0" fontId="0" fillId="0" borderId="1" xfId="0" applyBorder="1" applyAlignment="1">
      <alignment horizontal="left" vertical="center"/>
    </xf>
    <xf numFmtId="165" fontId="0" fillId="0" borderId="0" xfId="3" applyNumberFormat="1" applyFont="1"/>
    <xf numFmtId="164" fontId="0" fillId="0" borderId="0" xfId="2" applyNumberFormat="1" applyFont="1"/>
    <xf numFmtId="164" fontId="0" fillId="0" borderId="0" xfId="0" applyNumberFormat="1"/>
    <xf numFmtId="42" fontId="0" fillId="0" borderId="1" xfId="0" applyNumberFormat="1" applyBorder="1"/>
    <xf numFmtId="42" fontId="0" fillId="6" borderId="1" xfId="0" applyNumberFormat="1" applyFill="1" applyBorder="1"/>
    <xf numFmtId="42" fontId="2" fillId="2" borderId="1" xfId="0" applyNumberFormat="1" applyFont="1" applyFill="1" applyBorder="1" applyAlignment="1">
      <alignment horizontal="center"/>
    </xf>
    <xf numFmtId="14" fontId="0" fillId="0" borderId="0" xfId="0" applyNumberFormat="1"/>
    <xf numFmtId="0" fontId="2" fillId="0" borderId="0" xfId="0" applyFont="1"/>
    <xf numFmtId="165" fontId="0" fillId="0" borderId="0" xfId="0" applyNumberFormat="1"/>
    <xf numFmtId="165" fontId="0" fillId="6" borderId="0" xfId="3" applyNumberFormat="1" applyFont="1" applyFill="1"/>
    <xf numFmtId="0" fontId="0" fillId="6" borderId="0" xfId="0" applyFill="1"/>
    <xf numFmtId="165" fontId="0" fillId="6" borderId="0" xfId="0" applyNumberFormat="1" applyFill="1"/>
    <xf numFmtId="165" fontId="0" fillId="6" borderId="0" xfId="3" applyNumberFormat="1" applyFont="1" applyFill="1" applyAlignment="1">
      <alignment horizontal="center"/>
    </xf>
    <xf numFmtId="0" fontId="0" fillId="6" borderId="0" xfId="0" applyFill="1" applyAlignment="1">
      <alignment horizontal="center"/>
    </xf>
    <xf numFmtId="165" fontId="0" fillId="7" borderId="0" xfId="3" applyNumberFormat="1" applyFont="1" applyFill="1"/>
    <xf numFmtId="0" fontId="0" fillId="7" borderId="0" xfId="0" applyFill="1"/>
    <xf numFmtId="14" fontId="0" fillId="6" borderId="0" xfId="0" applyNumberFormat="1" applyFill="1"/>
    <xf numFmtId="42" fontId="0" fillId="6" borderId="0" xfId="0" applyNumberFormat="1" applyFill="1"/>
    <xf numFmtId="42" fontId="0" fillId="6" borderId="1" xfId="1" applyFont="1" applyFill="1" applyBorder="1"/>
    <xf numFmtId="0" fontId="2" fillId="6" borderId="0" xfId="0" applyFont="1" applyFill="1"/>
    <xf numFmtId="0" fontId="2" fillId="4" borderId="0" xfId="0" applyFont="1" applyFill="1"/>
    <xf numFmtId="0" fontId="0" fillId="4" borderId="0" xfId="0" applyFill="1"/>
    <xf numFmtId="14" fontId="0" fillId="4" borderId="0" xfId="0" applyNumberFormat="1" applyFill="1"/>
    <xf numFmtId="14" fontId="0" fillId="5" borderId="0" xfId="0" applyNumberFormat="1" applyFill="1"/>
  </cellXfs>
  <cellStyles count="4">
    <cellStyle name="Millares" xfId="3" builtinId="3"/>
    <cellStyle name="Moneda" xfId="2" builtinId="4"/>
    <cellStyle name="Moneda [0]" xfId="1" builtinId="7"/>
    <cellStyle name="Normal" xfId="0" builtinId="0"/>
  </cellStyles>
  <dxfs count="0"/>
  <tableStyles count="0" defaultTableStyle="TableStyleMedium2" defaultPivotStyle="PivotStyleLight16"/>
  <colors>
    <mruColors>
      <color rgb="FFFF050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workbookViewId="0">
      <selection activeCell="D4" sqref="D4"/>
    </sheetView>
  </sheetViews>
  <sheetFormatPr baseColWidth="10" defaultRowHeight="15" x14ac:dyDescent="0.25"/>
  <cols>
    <col min="1" max="1" width="35.85546875" bestFit="1" customWidth="1"/>
    <col min="2" max="2" width="13.140625" bestFit="1" customWidth="1"/>
    <col min="3" max="3" width="15.140625" bestFit="1" customWidth="1"/>
    <col min="4" max="4" width="16.5703125" bestFit="1" customWidth="1"/>
    <col min="5" max="5" width="16.5703125" customWidth="1"/>
    <col min="7" max="7" width="27.5703125" bestFit="1" customWidth="1"/>
    <col min="8" max="8" width="14.5703125" bestFit="1" customWidth="1"/>
    <col min="9" max="9" width="13.140625" bestFit="1" customWidth="1"/>
  </cols>
  <sheetData>
    <row r="1" spans="1:9" x14ac:dyDescent="0.25">
      <c r="A1" s="1" t="s">
        <v>4</v>
      </c>
      <c r="B1" s="1" t="s">
        <v>3</v>
      </c>
      <c r="C1" s="1" t="s">
        <v>1</v>
      </c>
      <c r="D1" s="1" t="s">
        <v>2</v>
      </c>
      <c r="E1" s="1" t="s">
        <v>8</v>
      </c>
    </row>
    <row r="2" spans="1:9" x14ac:dyDescent="0.25">
      <c r="A2" s="2" t="s">
        <v>0</v>
      </c>
      <c r="B2" s="3">
        <f ca="1">IF(D2&gt;0,TODAY(),)</f>
        <v>45965</v>
      </c>
      <c r="C2" s="4">
        <v>873100</v>
      </c>
      <c r="D2" s="33">
        <v>873100</v>
      </c>
      <c r="E2" s="10">
        <f>C2-D2</f>
        <v>0</v>
      </c>
    </row>
    <row r="3" spans="1:9" x14ac:dyDescent="0.25">
      <c r="A3" s="2" t="s">
        <v>5</v>
      </c>
      <c r="B3" s="3">
        <f t="shared" ref="B3:B11" ca="1" si="0">IF(D3&gt;0,TODAY(),)</f>
        <v>45965</v>
      </c>
      <c r="C3" s="4">
        <v>200000</v>
      </c>
      <c r="D3" s="33">
        <v>200000</v>
      </c>
      <c r="E3" s="10">
        <f t="shared" ref="E3:E11" si="1">C3-D3</f>
        <v>0</v>
      </c>
      <c r="G3" s="18">
        <v>5840900</v>
      </c>
      <c r="H3" s="1" t="s">
        <v>16</v>
      </c>
    </row>
    <row r="4" spans="1:9" x14ac:dyDescent="0.25">
      <c r="A4" s="2" t="s">
        <v>54</v>
      </c>
      <c r="B4" s="3">
        <f t="shared" ca="1" si="0"/>
        <v>45965</v>
      </c>
      <c r="C4" s="4">
        <v>900000</v>
      </c>
      <c r="D4" s="10">
        <v>200000</v>
      </c>
      <c r="E4" s="10">
        <f t="shared" si="1"/>
        <v>700000</v>
      </c>
      <c r="G4" s="18">
        <f>G3*9/100</f>
        <v>525681</v>
      </c>
      <c r="H4" s="1" t="s">
        <v>17</v>
      </c>
    </row>
    <row r="5" spans="1:9" x14ac:dyDescent="0.25">
      <c r="A5" s="2" t="s">
        <v>10</v>
      </c>
      <c r="B5" s="3">
        <f t="shared" ca="1" si="0"/>
        <v>45965</v>
      </c>
      <c r="C5" s="4">
        <v>200000</v>
      </c>
      <c r="D5" s="33">
        <v>200000</v>
      </c>
      <c r="E5" s="10">
        <f t="shared" si="1"/>
        <v>0</v>
      </c>
      <c r="G5" s="19">
        <f>G3-G4</f>
        <v>5315219</v>
      </c>
      <c r="H5" s="20" t="s">
        <v>18</v>
      </c>
      <c r="I5" s="15"/>
    </row>
    <row r="6" spans="1:9" x14ac:dyDescent="0.25">
      <c r="A6" s="2" t="s">
        <v>9</v>
      </c>
      <c r="B6" s="3">
        <f t="shared" ca="1" si="0"/>
        <v>45965</v>
      </c>
      <c r="C6" s="4">
        <v>338518</v>
      </c>
      <c r="D6" s="33">
        <v>338518</v>
      </c>
      <c r="E6" s="10">
        <f t="shared" si="1"/>
        <v>0</v>
      </c>
    </row>
    <row r="7" spans="1:9" x14ac:dyDescent="0.25">
      <c r="A7" s="2" t="s">
        <v>41</v>
      </c>
      <c r="B7" s="3">
        <f ca="1">IF(D7&gt;0,TODAY(),)</f>
        <v>45965</v>
      </c>
      <c r="C7" s="4">
        <v>300000</v>
      </c>
      <c r="D7" s="33">
        <v>300000</v>
      </c>
      <c r="E7" s="10">
        <f>C7-D7</f>
        <v>0</v>
      </c>
      <c r="H7" s="16"/>
      <c r="I7" s="9"/>
    </row>
    <row r="8" spans="1:9" x14ac:dyDescent="0.25">
      <c r="A8" s="2" t="s">
        <v>42</v>
      </c>
      <c r="B8" s="3">
        <f ca="1">IF(D8&gt;0,TODAY(),)</f>
        <v>45965</v>
      </c>
      <c r="C8" s="4">
        <v>185000</v>
      </c>
      <c r="D8" s="33">
        <v>185000</v>
      </c>
      <c r="E8" s="10">
        <f>C8-D8</f>
        <v>0</v>
      </c>
      <c r="H8" s="16"/>
      <c r="I8" s="9"/>
    </row>
    <row r="9" spans="1:9" x14ac:dyDescent="0.25">
      <c r="A9" s="2" t="s">
        <v>26</v>
      </c>
      <c r="B9" s="3">
        <f t="shared" ca="1" si="0"/>
        <v>45965</v>
      </c>
      <c r="C9" s="4">
        <v>500000</v>
      </c>
      <c r="D9" s="33">
        <v>500000</v>
      </c>
      <c r="E9" s="10">
        <f t="shared" si="1"/>
        <v>0</v>
      </c>
      <c r="G9" s="9">
        <f>G5-C12-C24-C26-C27-180000</f>
        <v>448601</v>
      </c>
      <c r="H9" s="9"/>
    </row>
    <row r="10" spans="1:9" x14ac:dyDescent="0.25">
      <c r="A10" s="2" t="s">
        <v>62</v>
      </c>
      <c r="B10" s="3">
        <v>45958</v>
      </c>
      <c r="C10" s="4">
        <v>400000</v>
      </c>
      <c r="D10" s="33">
        <v>400000</v>
      </c>
      <c r="E10" s="10">
        <f t="shared" si="1"/>
        <v>0</v>
      </c>
      <c r="G10" s="9"/>
      <c r="H10" s="9"/>
    </row>
    <row r="11" spans="1:9" x14ac:dyDescent="0.25">
      <c r="A11" s="2" t="s">
        <v>51</v>
      </c>
      <c r="B11" s="3">
        <f t="shared" ca="1" si="0"/>
        <v>45965</v>
      </c>
      <c r="C11" s="4">
        <v>790000</v>
      </c>
      <c r="D11" s="33">
        <v>790000</v>
      </c>
      <c r="E11" s="10">
        <f t="shared" si="1"/>
        <v>0</v>
      </c>
      <c r="G11" s="9"/>
      <c r="H11" s="9"/>
    </row>
    <row r="12" spans="1:9" ht="15.75" x14ac:dyDescent="0.25">
      <c r="A12" s="6" t="s">
        <v>6</v>
      </c>
      <c r="B12" s="7"/>
      <c r="C12" s="8">
        <f>SUM(C2:C11)</f>
        <v>4686618</v>
      </c>
      <c r="D12" s="11">
        <f>SUM(D2:D11)</f>
        <v>3986618</v>
      </c>
      <c r="E12" s="10">
        <f>SUM(E2:E11)</f>
        <v>700000</v>
      </c>
      <c r="G12" s="9"/>
      <c r="H12" s="9"/>
    </row>
    <row r="13" spans="1:9" x14ac:dyDescent="0.25">
      <c r="A13" s="5"/>
      <c r="B13" s="5"/>
      <c r="C13" s="4"/>
      <c r="D13" s="10"/>
      <c r="E13" s="10"/>
      <c r="G13" s="9"/>
    </row>
    <row r="14" spans="1:9" ht="18.75" x14ac:dyDescent="0.3">
      <c r="A14" s="14" t="s">
        <v>7</v>
      </c>
      <c r="B14" s="5"/>
      <c r="C14" s="4"/>
      <c r="D14" s="13">
        <f>C12-D12</f>
        <v>700000</v>
      </c>
      <c r="E14" s="12"/>
      <c r="H14" t="s">
        <v>11</v>
      </c>
      <c r="I14" s="32">
        <f>G9</f>
        <v>448601</v>
      </c>
    </row>
    <row r="15" spans="1:9" x14ac:dyDescent="0.25">
      <c r="I15" s="9"/>
    </row>
    <row r="17" spans="1:11" x14ac:dyDescent="0.25">
      <c r="A17" s="22" t="s">
        <v>29</v>
      </c>
    </row>
    <row r="18" spans="1:11" x14ac:dyDescent="0.25">
      <c r="A18" s="22" t="s">
        <v>30</v>
      </c>
    </row>
    <row r="19" spans="1:11" x14ac:dyDescent="0.25">
      <c r="A19" s="22" t="s">
        <v>31</v>
      </c>
    </row>
    <row r="20" spans="1:11" x14ac:dyDescent="0.25">
      <c r="A20" s="22" t="s">
        <v>58</v>
      </c>
      <c r="B20" t="s">
        <v>59</v>
      </c>
      <c r="C20" t="s">
        <v>60</v>
      </c>
      <c r="D20" s="21">
        <v>45913</v>
      </c>
      <c r="K20">
        <f>220+400+300</f>
        <v>920</v>
      </c>
    </row>
    <row r="21" spans="1:11" x14ac:dyDescent="0.25">
      <c r="A21" s="22"/>
      <c r="B21" s="9"/>
      <c r="D21" s="21">
        <v>45930</v>
      </c>
      <c r="E21">
        <v>180</v>
      </c>
    </row>
    <row r="22" spans="1:11" x14ac:dyDescent="0.25">
      <c r="A22" s="35"/>
      <c r="D22" s="21">
        <v>45962</v>
      </c>
      <c r="E22">
        <v>180</v>
      </c>
    </row>
    <row r="24" spans="1:11" x14ac:dyDescent="0.25">
      <c r="C24" s="15"/>
      <c r="D24" s="21"/>
    </row>
    <row r="26" spans="1:11" x14ac:dyDescent="0.25">
      <c r="D26" s="21"/>
    </row>
    <row r="27" spans="1:11" x14ac:dyDescent="0.25">
      <c r="D27" s="21"/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18"/>
  <sheetViews>
    <sheetView workbookViewId="0">
      <selection activeCell="D22" sqref="D22"/>
    </sheetView>
  </sheetViews>
  <sheetFormatPr baseColWidth="10" defaultRowHeight="15" x14ac:dyDescent="0.25"/>
  <cols>
    <col min="1" max="1" width="16.28515625" bestFit="1" customWidth="1"/>
    <col min="2" max="2" width="12" bestFit="1" customWidth="1"/>
    <col min="3" max="3" width="18.42578125" bestFit="1" customWidth="1"/>
    <col min="4" max="4" width="14.5703125" bestFit="1" customWidth="1"/>
    <col min="5" max="5" width="13.7109375" bestFit="1" customWidth="1"/>
    <col min="7" max="7" width="13.140625" bestFit="1" customWidth="1"/>
    <col min="8" max="8" width="22.5703125" bestFit="1" customWidth="1"/>
    <col min="9" max="10" width="19.7109375" customWidth="1"/>
  </cols>
  <sheetData>
    <row r="1" spans="1:15" x14ac:dyDescent="0.25">
      <c r="A1" t="s">
        <v>12</v>
      </c>
      <c r="D1" s="16">
        <v>4397130</v>
      </c>
    </row>
    <row r="3" spans="1:15" x14ac:dyDescent="0.25">
      <c r="A3" t="s">
        <v>13</v>
      </c>
      <c r="B3" s="17">
        <f>D1/2</f>
        <v>2198565</v>
      </c>
    </row>
    <row r="4" spans="1:15" x14ac:dyDescent="0.25">
      <c r="A4" t="s">
        <v>14</v>
      </c>
      <c r="B4" s="17">
        <f>D1*0.3</f>
        <v>1319139</v>
      </c>
    </row>
    <row r="5" spans="1:15" x14ac:dyDescent="0.25">
      <c r="A5" t="s">
        <v>15</v>
      </c>
      <c r="B5" s="17">
        <f>D1*0.2</f>
        <v>879426</v>
      </c>
    </row>
    <row r="6" spans="1:15" x14ac:dyDescent="0.25">
      <c r="D6" s="22" t="s">
        <v>21</v>
      </c>
      <c r="G6" s="22" t="s">
        <v>22</v>
      </c>
      <c r="I6" s="22" t="s">
        <v>34</v>
      </c>
      <c r="L6" s="22" t="s">
        <v>33</v>
      </c>
      <c r="O6" s="22" t="s">
        <v>55</v>
      </c>
    </row>
    <row r="8" spans="1:15" x14ac:dyDescent="0.25">
      <c r="C8" t="s">
        <v>19</v>
      </c>
      <c r="M8" t="s">
        <v>32</v>
      </c>
    </row>
    <row r="9" spans="1:15" x14ac:dyDescent="0.25">
      <c r="D9" s="24">
        <v>180000</v>
      </c>
      <c r="E9" t="s">
        <v>20</v>
      </c>
      <c r="G9" s="24">
        <v>1000000</v>
      </c>
      <c r="H9" s="25" t="s">
        <v>40</v>
      </c>
      <c r="I9" s="27">
        <v>1657280</v>
      </c>
      <c r="J9" s="25" t="s">
        <v>27</v>
      </c>
      <c r="L9" s="24">
        <v>70000</v>
      </c>
      <c r="M9" s="25" t="s">
        <v>52</v>
      </c>
    </row>
    <row r="10" spans="1:15" x14ac:dyDescent="0.25">
      <c r="D10" s="29">
        <v>3000000</v>
      </c>
      <c r="E10" s="30" t="s">
        <v>23</v>
      </c>
      <c r="G10" s="24">
        <v>440000</v>
      </c>
      <c r="H10" s="25" t="s">
        <v>39</v>
      </c>
      <c r="I10" s="28" t="s">
        <v>28</v>
      </c>
      <c r="J10" s="25" t="s">
        <v>47</v>
      </c>
      <c r="L10" s="24">
        <v>236000</v>
      </c>
      <c r="M10" s="25" t="s">
        <v>53</v>
      </c>
    </row>
    <row r="11" spans="1:15" x14ac:dyDescent="0.25">
      <c r="G11" s="24">
        <v>125000</v>
      </c>
      <c r="H11" s="25" t="s">
        <v>38</v>
      </c>
    </row>
    <row r="12" spans="1:15" x14ac:dyDescent="0.25">
      <c r="D12" s="23"/>
      <c r="G12" s="24">
        <v>88000</v>
      </c>
      <c r="H12" s="25" t="s">
        <v>37</v>
      </c>
    </row>
    <row r="13" spans="1:15" x14ac:dyDescent="0.25">
      <c r="G13" s="26">
        <f>SUM(G9:G12)</f>
        <v>1653000</v>
      </c>
    </row>
    <row r="15" spans="1:15" x14ac:dyDescent="0.25">
      <c r="G15" s="26">
        <v>200000</v>
      </c>
      <c r="H15" s="25" t="s">
        <v>24</v>
      </c>
    </row>
    <row r="16" spans="1:15" x14ac:dyDescent="0.25">
      <c r="G16" s="26">
        <v>170000</v>
      </c>
      <c r="H16" s="25" t="s">
        <v>25</v>
      </c>
    </row>
    <row r="17" spans="7:8" x14ac:dyDescent="0.25">
      <c r="G17" s="24">
        <v>58000</v>
      </c>
      <c r="H17" s="25" t="s">
        <v>35</v>
      </c>
    </row>
    <row r="18" spans="7:8" x14ac:dyDescent="0.25">
      <c r="G18" s="26">
        <v>200000</v>
      </c>
      <c r="H18" s="25" t="s">
        <v>36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"/>
  <sheetViews>
    <sheetView tabSelected="1" topLeftCell="C1" workbookViewId="0">
      <selection activeCell="R1" sqref="R1"/>
    </sheetView>
  </sheetViews>
  <sheetFormatPr baseColWidth="10" defaultRowHeight="15" x14ac:dyDescent="0.25"/>
  <cols>
    <col min="2" max="2" width="23.140625" customWidth="1"/>
    <col min="5" max="5" width="14.5703125" bestFit="1" customWidth="1"/>
    <col min="10" max="10" width="15.140625" bestFit="1" customWidth="1"/>
    <col min="14" max="14" width="14.140625" bestFit="1" customWidth="1"/>
    <col min="15" max="15" width="20.140625" bestFit="1" customWidth="1"/>
    <col min="17" max="17" width="14" bestFit="1" customWidth="1"/>
  </cols>
  <sheetData>
    <row r="1" spans="1:18" x14ac:dyDescent="0.25">
      <c r="B1" s="22" t="s">
        <v>50</v>
      </c>
      <c r="E1" s="16" t="s">
        <v>46</v>
      </c>
      <c r="F1" s="15">
        <f>20000*12</f>
        <v>240000</v>
      </c>
      <c r="I1" s="22" t="s">
        <v>56</v>
      </c>
      <c r="L1" s="16" t="s">
        <v>57</v>
      </c>
      <c r="M1" s="15">
        <f>22*12000</f>
        <v>264000</v>
      </c>
      <c r="O1" s="22" t="s">
        <v>61</v>
      </c>
      <c r="Q1" s="16" t="s">
        <v>63</v>
      </c>
      <c r="R1" s="24">
        <f>17*12000</f>
        <v>204000</v>
      </c>
    </row>
    <row r="2" spans="1:18" x14ac:dyDescent="0.25">
      <c r="A2" s="34">
        <v>1</v>
      </c>
      <c r="B2" s="31">
        <v>45811</v>
      </c>
      <c r="C2" t="s">
        <v>43</v>
      </c>
      <c r="E2" s="16"/>
      <c r="H2" s="22">
        <v>1</v>
      </c>
      <c r="I2" s="31">
        <v>45901</v>
      </c>
      <c r="N2" s="36">
        <v>1</v>
      </c>
      <c r="O2" s="31">
        <v>45932</v>
      </c>
    </row>
    <row r="3" spans="1:18" x14ac:dyDescent="0.25">
      <c r="A3" s="34">
        <v>2</v>
      </c>
      <c r="B3" s="31">
        <v>45812</v>
      </c>
      <c r="C3" t="s">
        <v>44</v>
      </c>
      <c r="E3" s="16"/>
      <c r="H3" s="22">
        <v>2</v>
      </c>
      <c r="I3" s="31">
        <v>45902</v>
      </c>
      <c r="N3" s="36">
        <v>2</v>
      </c>
      <c r="O3" s="31">
        <v>45933</v>
      </c>
    </row>
    <row r="4" spans="1:18" x14ac:dyDescent="0.25">
      <c r="A4" s="34">
        <v>3</v>
      </c>
      <c r="B4" s="31">
        <v>45813</v>
      </c>
      <c r="C4" t="s">
        <v>45</v>
      </c>
      <c r="H4" s="22">
        <v>3</v>
      </c>
      <c r="I4" s="31">
        <v>45903</v>
      </c>
      <c r="N4" s="36">
        <v>3</v>
      </c>
      <c r="O4" s="31">
        <v>45936</v>
      </c>
    </row>
    <row r="5" spans="1:18" x14ac:dyDescent="0.25">
      <c r="A5" s="34">
        <v>4</v>
      </c>
      <c r="B5" s="31">
        <v>45814</v>
      </c>
      <c r="C5" t="s">
        <v>48</v>
      </c>
      <c r="E5" s="16"/>
      <c r="H5" s="22">
        <v>4</v>
      </c>
      <c r="I5" s="31">
        <v>45904</v>
      </c>
      <c r="J5" s="15"/>
      <c r="L5" s="23"/>
      <c r="N5" s="36">
        <v>4</v>
      </c>
      <c r="O5" s="31">
        <v>45937</v>
      </c>
    </row>
    <row r="6" spans="1:18" x14ac:dyDescent="0.25">
      <c r="A6" s="34">
        <v>5</v>
      </c>
      <c r="B6" s="31">
        <v>45817</v>
      </c>
      <c r="C6" t="s">
        <v>49</v>
      </c>
      <c r="E6" s="16"/>
      <c r="H6" s="22">
        <v>5</v>
      </c>
      <c r="I6" s="31">
        <v>45905</v>
      </c>
      <c r="J6" s="23"/>
      <c r="L6" s="23"/>
      <c r="N6" s="36">
        <v>5</v>
      </c>
      <c r="O6" s="31">
        <v>45938</v>
      </c>
    </row>
    <row r="7" spans="1:18" x14ac:dyDescent="0.25">
      <c r="A7" s="34">
        <v>6</v>
      </c>
      <c r="B7" s="31">
        <v>45818</v>
      </c>
      <c r="E7" s="16"/>
      <c r="G7" s="17"/>
      <c r="H7" s="22">
        <v>6</v>
      </c>
      <c r="I7" s="31">
        <v>45908</v>
      </c>
      <c r="N7" s="36">
        <v>6</v>
      </c>
      <c r="O7" s="31">
        <v>45939</v>
      </c>
    </row>
    <row r="8" spans="1:18" x14ac:dyDescent="0.25">
      <c r="A8" s="34">
        <v>7</v>
      </c>
      <c r="B8" s="31">
        <v>45819</v>
      </c>
      <c r="H8" s="22">
        <v>7</v>
      </c>
      <c r="I8" s="31">
        <v>45909</v>
      </c>
      <c r="N8" s="36">
        <v>7</v>
      </c>
      <c r="O8" s="38">
        <v>45940</v>
      </c>
    </row>
    <row r="9" spans="1:18" x14ac:dyDescent="0.25">
      <c r="A9" s="34">
        <v>8</v>
      </c>
      <c r="B9" s="31">
        <v>45820</v>
      </c>
      <c r="H9" s="22">
        <v>8</v>
      </c>
      <c r="I9" s="31">
        <v>45910</v>
      </c>
      <c r="N9" s="36">
        <v>8</v>
      </c>
      <c r="O9" s="31">
        <v>45944</v>
      </c>
    </row>
    <row r="10" spans="1:18" x14ac:dyDescent="0.25">
      <c r="A10" s="34">
        <v>9</v>
      </c>
      <c r="B10" s="31">
        <v>45821</v>
      </c>
      <c r="H10" s="22">
        <v>9</v>
      </c>
      <c r="I10" s="31">
        <v>45911</v>
      </c>
      <c r="N10" s="36">
        <v>9</v>
      </c>
      <c r="O10" s="31">
        <v>45945</v>
      </c>
    </row>
    <row r="11" spans="1:18" x14ac:dyDescent="0.25">
      <c r="A11" s="34">
        <v>10</v>
      </c>
      <c r="B11" s="31">
        <v>45824</v>
      </c>
      <c r="D11" s="21"/>
      <c r="H11" s="22">
        <v>10</v>
      </c>
      <c r="I11" s="31">
        <v>45915</v>
      </c>
      <c r="N11" s="36">
        <v>10</v>
      </c>
      <c r="O11" s="31">
        <v>45946</v>
      </c>
    </row>
    <row r="12" spans="1:18" x14ac:dyDescent="0.25">
      <c r="A12" s="34">
        <v>11</v>
      </c>
      <c r="B12" s="31">
        <v>45825</v>
      </c>
      <c r="H12" s="22">
        <v>11</v>
      </c>
      <c r="I12" s="31">
        <v>45916</v>
      </c>
      <c r="N12" s="36">
        <v>11</v>
      </c>
      <c r="O12" s="31">
        <v>45947</v>
      </c>
    </row>
    <row r="13" spans="1:18" x14ac:dyDescent="0.25">
      <c r="A13" s="34">
        <v>12</v>
      </c>
      <c r="B13" s="31">
        <v>45826</v>
      </c>
      <c r="H13" s="22">
        <v>12</v>
      </c>
      <c r="I13" s="31">
        <v>45917</v>
      </c>
      <c r="N13" s="36">
        <v>12</v>
      </c>
      <c r="O13" s="31">
        <v>45950</v>
      </c>
    </row>
    <row r="14" spans="1:18" x14ac:dyDescent="0.25">
      <c r="A14" s="34">
        <v>13</v>
      </c>
      <c r="B14" s="31">
        <v>45827</v>
      </c>
      <c r="H14" s="22">
        <v>13</v>
      </c>
      <c r="I14" s="31">
        <v>45918</v>
      </c>
      <c r="N14" s="36">
        <v>13</v>
      </c>
      <c r="O14" s="31">
        <v>45951</v>
      </c>
    </row>
    <row r="15" spans="1:18" x14ac:dyDescent="0.25">
      <c r="A15" s="34">
        <v>14</v>
      </c>
      <c r="B15" s="31">
        <v>45828</v>
      </c>
      <c r="H15" s="22">
        <v>14</v>
      </c>
      <c r="I15" s="31">
        <v>45919</v>
      </c>
      <c r="N15" s="36">
        <v>14</v>
      </c>
      <c r="O15" s="31">
        <v>45952</v>
      </c>
    </row>
    <row r="16" spans="1:18" x14ac:dyDescent="0.25">
      <c r="A16" s="34">
        <v>15</v>
      </c>
      <c r="B16" s="31">
        <v>45832</v>
      </c>
      <c r="H16" s="22">
        <v>15</v>
      </c>
      <c r="I16" s="31">
        <v>45922</v>
      </c>
      <c r="N16" s="36">
        <v>15</v>
      </c>
      <c r="O16" s="31">
        <v>45953</v>
      </c>
    </row>
    <row r="17" spans="1:15" x14ac:dyDescent="0.25">
      <c r="A17" s="34">
        <v>16</v>
      </c>
      <c r="B17" s="31">
        <v>45833</v>
      </c>
      <c r="H17" s="22">
        <v>16</v>
      </c>
      <c r="I17" s="31">
        <v>45923</v>
      </c>
      <c r="N17" s="36">
        <v>16</v>
      </c>
      <c r="O17" s="31">
        <v>45954</v>
      </c>
    </row>
    <row r="18" spans="1:15" x14ac:dyDescent="0.25">
      <c r="A18" s="34">
        <v>17</v>
      </c>
      <c r="B18" s="31">
        <v>45834</v>
      </c>
      <c r="H18" s="22">
        <v>17</v>
      </c>
      <c r="I18" s="31">
        <v>45924</v>
      </c>
      <c r="N18" s="36">
        <v>17</v>
      </c>
      <c r="O18" s="31">
        <v>45957</v>
      </c>
    </row>
    <row r="19" spans="1:15" x14ac:dyDescent="0.25">
      <c r="A19" s="34">
        <v>18</v>
      </c>
      <c r="B19" s="31">
        <v>45835</v>
      </c>
      <c r="H19" s="22">
        <v>18</v>
      </c>
      <c r="I19" s="31">
        <v>45925</v>
      </c>
      <c r="N19" s="36">
        <v>18</v>
      </c>
      <c r="O19" s="31">
        <v>45958</v>
      </c>
    </row>
    <row r="20" spans="1:15" x14ac:dyDescent="0.25">
      <c r="A20" s="34">
        <v>19</v>
      </c>
      <c r="B20" s="31">
        <v>45839</v>
      </c>
      <c r="H20" s="22">
        <v>19</v>
      </c>
      <c r="I20" s="31">
        <v>45926</v>
      </c>
      <c r="N20" s="36">
        <v>19</v>
      </c>
      <c r="O20" s="37">
        <v>45959</v>
      </c>
    </row>
    <row r="21" spans="1:15" x14ac:dyDescent="0.25">
      <c r="A21" s="34">
        <v>20</v>
      </c>
      <c r="B21" s="31">
        <v>45840</v>
      </c>
      <c r="H21" s="22">
        <v>20</v>
      </c>
      <c r="I21" s="31">
        <v>45929</v>
      </c>
      <c r="N21" s="36">
        <v>20</v>
      </c>
      <c r="O21" s="37">
        <v>45960</v>
      </c>
    </row>
    <row r="22" spans="1:15" x14ac:dyDescent="0.25">
      <c r="H22" s="22">
        <v>21</v>
      </c>
      <c r="I22" s="31">
        <v>45930</v>
      </c>
      <c r="N22" s="36">
        <v>21</v>
      </c>
      <c r="O22" s="37">
        <v>45961</v>
      </c>
    </row>
    <row r="23" spans="1:15" x14ac:dyDescent="0.25">
      <c r="H23" s="22">
        <v>22</v>
      </c>
      <c r="I23" s="31">
        <v>45931</v>
      </c>
    </row>
    <row r="24" spans="1:15" x14ac:dyDescent="0.25">
      <c r="N24" s="36">
        <v>22</v>
      </c>
      <c r="O24" s="21">
        <v>45965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MENSUALES</vt:lpstr>
      <vt:lpstr>RECOMENDADO</vt:lpstr>
      <vt:lpstr>Almuerzos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Duvan A. Martinez Parra</dc:creator>
  <cp:lastModifiedBy>Duvan A. Martinez Parra</cp:lastModifiedBy>
  <dcterms:created xsi:type="dcterms:W3CDTF">2021-08-18T16:33:09Z</dcterms:created>
  <dcterms:modified xsi:type="dcterms:W3CDTF">2025-11-04T16:43:01Z</dcterms:modified>
</cp:coreProperties>
</file>